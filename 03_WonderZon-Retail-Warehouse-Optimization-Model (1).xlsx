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5</definedName>
    <definedName localSheetId="0" name="solver_nwt">1</definedName>
    <definedName localSheetId="0" name="solver_pre">0.000001</definedName>
    <definedName localSheetId="0" name="solver_rbv">1</definedName>
    <definedName localSheetId="0" name="solver_rel1">2</definedName>
    <definedName localSheetId="0" name="solver_rel2">2</definedName>
    <definedName localSheetId="0" name="solver_rel3">3</definedName>
    <definedName localSheetId="0" name="solver_rel4">3</definedName>
    <definedName localSheetId="0" name="solver_rel5">3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2</definedName>
    <definedName localSheetId="0" name="solver_val">0</definedName>
    <definedName localSheetId="0" name="solver_ver">3</definedName>
    <definedName localSheetId="0" name="solver_lhs2">Sheet1!$B$17</definedName>
    <definedName localSheetId="0" name="solver_rhs5">Sheet1!$B$13</definedName>
    <definedName localSheetId="0" name="solver_rhs3">Sheet1!$B$11</definedName>
    <definedName localSheetId="0" name="solver_rhs1">Sheet1!$E$11</definedName>
    <definedName localSheetId="0" name="solver_rhs4">Sheet1!$B$12</definedName>
    <definedName localSheetId="0" name="solver_lhs3">Sheet1!$B$19</definedName>
    <definedName localSheetId="0" name="solver_opt">Sheet1!$E$22</definedName>
    <definedName localSheetId="0" name="solver_adj">Sheet1!$D$16:$D$21</definedName>
    <definedName localSheetId="0" name="solver_lhs5">Sheet1!$B$21</definedName>
    <definedName localSheetId="0" name="solver_lhs4">Sheet1!$B$20</definedName>
    <definedName localSheetId="0" name="solver_lhs1">Sheet1!$B$16</definedName>
    <definedName localSheetId="0" name="solver_rhs2">Sheet1!$E$12</definedName>
  </definedNames>
  <calcPr/>
  <extLst>
    <ext uri="GoogleSheetsCustomDataVersion2">
      <go:sheetsCustomData xmlns:go="http://customooxmlschemas.google.com/" r:id="rId5" roundtripDataChecksum="ihIxjgV7blEr8mtmcGWT+bNcckKYrYrFHsL9v6bf2C4="/>
    </ext>
  </extLst>
</workbook>
</file>

<file path=xl/sharedStrings.xml><?xml version="1.0" encoding="utf-8"?>
<sst xmlns="http://schemas.openxmlformats.org/spreadsheetml/2006/main" count="34" uniqueCount="31">
  <si>
    <t>WonderZon Retailer</t>
  </si>
  <si>
    <t xml:space="preserve"> </t>
  </si>
  <si>
    <t>Delivery Centers</t>
  </si>
  <si>
    <t>From / To</t>
  </si>
  <si>
    <t>Bengaluru (B)</t>
  </si>
  <si>
    <t>Hyderabad (H)</t>
  </si>
  <si>
    <t xml:space="preserve">Chennai (C) </t>
  </si>
  <si>
    <t>Warehouses</t>
  </si>
  <si>
    <t>Gurgoan (G)</t>
  </si>
  <si>
    <t>Mumbai (M)</t>
  </si>
  <si>
    <t>Minimum Quantity</t>
  </si>
  <si>
    <t>Shipment capacity (Quanity)</t>
  </si>
  <si>
    <t>Gurgoan</t>
  </si>
  <si>
    <t>Hyderbad(H)</t>
  </si>
  <si>
    <t>Mumbai</t>
  </si>
  <si>
    <t xml:space="preserve">Chennai(C) </t>
  </si>
  <si>
    <t>Route</t>
  </si>
  <si>
    <t>Quantity</t>
  </si>
  <si>
    <t>Cost</t>
  </si>
  <si>
    <t>Gurgoan (G) Shipping</t>
  </si>
  <si>
    <t>G-&gt;B</t>
  </si>
  <si>
    <t>Mumbai (M) Shipping</t>
  </si>
  <si>
    <t>G-&gt;H</t>
  </si>
  <si>
    <t>G-&gt;C</t>
  </si>
  <si>
    <t>Bangalore(B) receive</t>
  </si>
  <si>
    <t>M-&gt;B</t>
  </si>
  <si>
    <t>Hyderabad(H) receive</t>
  </si>
  <si>
    <t>M-&gt;H</t>
  </si>
  <si>
    <t>Chennai(C) receive</t>
  </si>
  <si>
    <t>M-&gt;C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</si>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</sst>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</fills>
  <borders count="8">
    <border/>
    <border>
      <left/>
      <right/>
      <top/>
      <bottom/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bottom style="thin">
        <color rgb="FFE7E6E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4" numFmtId="0" xfId="0" applyBorder="1" applyFont="1"/>
    <xf borderId="0" fillId="0" fontId="2" numFmtId="1" xfId="0" applyAlignment="1" applyFont="1" applyNumberFormat="1">
      <alignment horizontal="center" vertical="center"/>
    </xf>
    <xf borderId="1" fillId="5" fontId="5" numFmtId="1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/>
    </xf>
    <xf borderId="1" fillId="6" fontId="3" numFmtId="1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466725</xdr:rowOff>
    </xdr:from>
    <xdr:ext cx="742950" cy="438150"/>
    <xdr:sp>
      <xdr:nvSpPr>
        <xdr:cNvPr id="3" name="Shape 3"/>
        <xdr:cNvSpPr/>
      </xdr:nvSpPr>
      <xdr:spPr>
        <a:xfrm>
          <a:off x="4979288" y="3565688"/>
          <a:ext cx="733425" cy="4286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G(25)</a:t>
          </a:r>
          <a:endParaRPr sz="1400"/>
        </a:p>
      </xdr:txBody>
    </xdr:sp>
    <xdr:clientData fLocksWithSheet="0"/>
  </xdr:oneCellAnchor>
  <xdr:oneCellAnchor>
    <xdr:from>
      <xdr:col>5</xdr:col>
      <xdr:colOff>1590675</xdr:colOff>
      <xdr:row>14</xdr:row>
      <xdr:rowOff>95250</xdr:rowOff>
    </xdr:from>
    <xdr:ext cx="790575" cy="409575"/>
    <xdr:sp>
      <xdr:nvSpPr>
        <xdr:cNvPr id="4" name="Shape 4"/>
        <xdr:cNvSpPr/>
      </xdr:nvSpPr>
      <xdr:spPr>
        <a:xfrm>
          <a:off x="4955475" y="3579975"/>
          <a:ext cx="781050" cy="400050"/>
        </a:xfrm>
        <a:prstGeom prst="ellipse">
          <a:avLst/>
        </a:prstGeom>
        <a:solidFill>
          <a:srgbClr val="548135"/>
        </a:solidFill>
        <a:ln cap="flat" cmpd="sng" w="12700">
          <a:solidFill>
            <a:srgbClr val="54813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M(50)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16</xdr:row>
      <xdr:rowOff>0</xdr:rowOff>
    </xdr:from>
    <xdr:ext cx="561975" cy="314325"/>
    <xdr:sp>
      <xdr:nvSpPr>
        <xdr:cNvPr id="5" name="Shape 5"/>
        <xdr:cNvSpPr/>
      </xdr:nvSpPr>
      <xdr:spPr>
        <a:xfrm>
          <a:off x="5069775" y="3627600"/>
          <a:ext cx="552450" cy="304800"/>
        </a:xfrm>
        <a:prstGeom prst="roundRect">
          <a:avLst>
            <a:gd fmla="val 16667" name="adj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H(&gt;10)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7</xdr:row>
      <xdr:rowOff>419100</xdr:rowOff>
    </xdr:from>
    <xdr:ext cx="76200" cy="1438275"/>
    <xdr:grpSp>
      <xdr:nvGrpSpPr>
        <xdr:cNvPr id="2" name="Shape 2"/>
        <xdr:cNvGrpSpPr/>
      </xdr:nvGrpSpPr>
      <xdr:grpSpPr>
        <a:xfrm>
          <a:off x="5322188" y="3075150"/>
          <a:ext cx="47625" cy="1409700"/>
          <a:chOff x="5322188" y="3075150"/>
          <a:chExt cx="47625" cy="1409700"/>
        </a:xfrm>
      </xdr:grpSpPr>
      <xdr:cxnSp>
        <xdr:nvCxnSpPr>
          <xdr:cNvPr id="6" name="Shape 6"/>
          <xdr:cNvCxnSpPr/>
        </xdr:nvCxnSpPr>
        <xdr:spPr>
          <a:xfrm>
            <a:off x="5322188" y="3075150"/>
            <a:ext cx="47625" cy="1409700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609600</xdr:colOff>
      <xdr:row>7</xdr:row>
      <xdr:rowOff>352425</xdr:rowOff>
    </xdr:from>
    <xdr:ext cx="371475" cy="2581275"/>
    <xdr:grpSp>
      <xdr:nvGrpSpPr>
        <xdr:cNvPr id="2" name="Shape 2"/>
        <xdr:cNvGrpSpPr/>
      </xdr:nvGrpSpPr>
      <xdr:grpSpPr>
        <a:xfrm>
          <a:off x="5174550" y="2498888"/>
          <a:ext cx="342900" cy="2562225"/>
          <a:chOff x="5174550" y="2498888"/>
          <a:chExt cx="342900" cy="2562225"/>
        </a:xfrm>
      </xdr:grpSpPr>
      <xdr:cxnSp>
        <xdr:nvCxnSpPr>
          <xdr:cNvPr id="7" name="Shape 7"/>
          <xdr:cNvCxnSpPr/>
        </xdr:nvCxnSpPr>
        <xdr:spPr>
          <a:xfrm>
            <a:off x="5174550" y="2498888"/>
            <a:ext cx="342900" cy="256222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19050</xdr:colOff>
      <xdr:row>7</xdr:row>
      <xdr:rowOff>381000</xdr:rowOff>
    </xdr:from>
    <xdr:ext cx="238125" cy="2381250"/>
    <xdr:grpSp>
      <xdr:nvGrpSpPr>
        <xdr:cNvPr id="2" name="Shape 2"/>
        <xdr:cNvGrpSpPr/>
      </xdr:nvGrpSpPr>
      <xdr:grpSpPr>
        <a:xfrm>
          <a:off x="5241225" y="2603663"/>
          <a:ext cx="209550" cy="2352675"/>
          <a:chOff x="5241225" y="2603663"/>
          <a:chExt cx="209550" cy="2352675"/>
        </a:xfrm>
      </xdr:grpSpPr>
      <xdr:cxnSp>
        <xdr:nvCxnSpPr>
          <xdr:cNvPr id="8" name="Shape 8"/>
          <xdr:cNvCxnSpPr/>
        </xdr:nvCxnSpPr>
        <xdr:spPr>
          <a:xfrm flipH="1">
            <a:off x="5241225" y="2603663"/>
            <a:ext cx="209550" cy="235267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466725</xdr:colOff>
      <xdr:row>16</xdr:row>
      <xdr:rowOff>76200</xdr:rowOff>
    </xdr:from>
    <xdr:ext cx="438150" cy="104775"/>
    <xdr:grpSp>
      <xdr:nvGrpSpPr>
        <xdr:cNvPr id="2" name="Shape 2"/>
        <xdr:cNvGrpSpPr/>
      </xdr:nvGrpSpPr>
      <xdr:grpSpPr>
        <a:xfrm>
          <a:off x="5141213" y="3741900"/>
          <a:ext cx="409500" cy="76200"/>
          <a:chOff x="5141213" y="3741900"/>
          <a:chExt cx="409500" cy="76200"/>
        </a:xfrm>
      </xdr:grpSpPr>
      <xdr:cxnSp>
        <xdr:nvCxnSpPr>
          <xdr:cNvPr id="9" name="Shape 9"/>
          <xdr:cNvCxnSpPr>
            <a:stCxn id="4" idx="5"/>
            <a:endCxn id="5" idx="1"/>
          </xdr:cNvCxnSpPr>
        </xdr:nvCxnSpPr>
        <xdr:spPr>
          <a:xfrm>
            <a:off x="5141213" y="3741900"/>
            <a:ext cx="409500" cy="76200"/>
          </a:xfrm>
          <a:prstGeom prst="straightConnector1">
            <a:avLst/>
          </a:prstGeom>
          <a:noFill/>
          <a:ln cap="flat" cmpd="sng" w="28575">
            <a:solidFill>
              <a:srgbClr val="548135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304800</xdr:colOff>
      <xdr:row>16</xdr:row>
      <xdr:rowOff>142875</xdr:rowOff>
    </xdr:from>
    <xdr:ext cx="323850" cy="676275"/>
    <xdr:grpSp>
      <xdr:nvGrpSpPr>
        <xdr:cNvPr id="2" name="Shape 2"/>
        <xdr:cNvGrpSpPr/>
      </xdr:nvGrpSpPr>
      <xdr:grpSpPr>
        <a:xfrm>
          <a:off x="5198363" y="3456150"/>
          <a:ext cx="295275" cy="647700"/>
          <a:chOff x="5198363" y="3456150"/>
          <a:chExt cx="295275" cy="647700"/>
        </a:xfrm>
      </xdr:grpSpPr>
      <xdr:cxnSp>
        <xdr:nvCxnSpPr>
          <xdr:cNvPr id="10" name="Shape 10"/>
          <xdr:cNvCxnSpPr/>
        </xdr:nvCxnSpPr>
        <xdr:spPr>
          <a:xfrm>
            <a:off x="5198363" y="3456150"/>
            <a:ext cx="295275" cy="647700"/>
          </a:xfrm>
          <a:prstGeom prst="straightConnector1">
            <a:avLst/>
          </a:prstGeom>
          <a:noFill/>
          <a:ln cap="flat" cmpd="sng" w="28575">
            <a:solidFill>
              <a:srgbClr val="548135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342900</xdr:colOff>
      <xdr:row>16</xdr:row>
      <xdr:rowOff>142875</xdr:rowOff>
    </xdr:from>
    <xdr:ext cx="990600" cy="723900"/>
    <xdr:grpSp>
      <xdr:nvGrpSpPr>
        <xdr:cNvPr id="2" name="Shape 2"/>
        <xdr:cNvGrpSpPr/>
      </xdr:nvGrpSpPr>
      <xdr:grpSpPr>
        <a:xfrm>
          <a:off x="4864988" y="3432338"/>
          <a:ext cx="962025" cy="695325"/>
          <a:chOff x="4864988" y="3432338"/>
          <a:chExt cx="962025" cy="695325"/>
        </a:xfrm>
      </xdr:grpSpPr>
      <xdr:cxnSp>
        <xdr:nvCxnSpPr>
          <xdr:cNvPr id="11" name="Shape 11"/>
          <xdr:cNvCxnSpPr/>
        </xdr:nvCxnSpPr>
        <xdr:spPr>
          <a:xfrm>
            <a:off x="4864988" y="3432338"/>
            <a:ext cx="962025" cy="695325"/>
          </a:xfrm>
          <a:prstGeom prst="straightConnector1">
            <a:avLst/>
          </a:prstGeom>
          <a:noFill/>
          <a:ln cap="flat" cmpd="sng" w="28575">
            <a:solidFill>
              <a:srgbClr val="548135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504825</xdr:colOff>
      <xdr:row>20</xdr:row>
      <xdr:rowOff>123825</xdr:rowOff>
    </xdr:from>
    <xdr:ext cx="561975" cy="314325"/>
    <xdr:sp>
      <xdr:nvSpPr>
        <xdr:cNvPr id="12" name="Shape 12"/>
        <xdr:cNvSpPr/>
      </xdr:nvSpPr>
      <xdr:spPr>
        <a:xfrm>
          <a:off x="5069775" y="3627600"/>
          <a:ext cx="552450" cy="304800"/>
        </a:xfrm>
        <a:prstGeom prst="roundRect">
          <a:avLst>
            <a:gd fmla="val 16667" name="adj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C(&gt;15)</a:t>
          </a:r>
          <a:endParaRPr sz="1400"/>
        </a:p>
      </xdr:txBody>
    </xdr:sp>
    <xdr:clientData fLocksWithSheet="0"/>
  </xdr:oneCellAnchor>
  <xdr:oneCellAnchor>
    <xdr:from>
      <xdr:col>6</xdr:col>
      <xdr:colOff>371475</xdr:colOff>
      <xdr:row>20</xdr:row>
      <xdr:rowOff>85725</xdr:rowOff>
    </xdr:from>
    <xdr:ext cx="571500" cy="314325"/>
    <xdr:sp>
      <xdr:nvSpPr>
        <xdr:cNvPr id="13" name="Shape 13"/>
        <xdr:cNvSpPr/>
      </xdr:nvSpPr>
      <xdr:spPr>
        <a:xfrm>
          <a:off x="5065013" y="3627600"/>
          <a:ext cx="561975" cy="304800"/>
        </a:xfrm>
        <a:prstGeom prst="roundRect">
          <a:avLst>
            <a:gd fmla="val 16667" name="adj"/>
          </a:avLst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B(&gt;20)</a:t>
          </a:r>
          <a:endParaRPr sz="1400"/>
        </a:p>
      </xdr:txBody>
    </xdr:sp>
    <xdr:clientData fLocksWithSheet="0"/>
  </xdr:oneCellAnchor>
  <xdr:oneCellAnchor>
    <xdr:from>
      <xdr:col>5</xdr:col>
      <xdr:colOff>571500</xdr:colOff>
      <xdr:row>1</xdr:row>
      <xdr:rowOff>57150</xdr:rowOff>
    </xdr:from>
    <xdr:ext cx="3990975" cy="6419850"/>
    <xdr:pic>
      <xdr:nvPicPr>
        <xdr:cNvPr descr="Image result for india map outlin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4" width="23.43"/>
    <col customWidth="1" min="5" max="5" width="28.86"/>
    <col customWidth="1" min="6" max="6" width="26.71"/>
    <col customWidth="1" min="7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3" t="s">
        <v>1</v>
      </c>
      <c r="B5" s="4"/>
      <c r="C5" s="3" t="s">
        <v>2</v>
      </c>
      <c r="D5" s="5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6"/>
      <c r="B6" s="7" t="s">
        <v>3</v>
      </c>
      <c r="C6" s="7" t="s">
        <v>4</v>
      </c>
      <c r="D6" s="7" t="s">
        <v>5</v>
      </c>
      <c r="E6" s="7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.0" customHeight="1">
      <c r="A7" s="8" t="s">
        <v>7</v>
      </c>
      <c r="B7" s="7" t="s">
        <v>8</v>
      </c>
      <c r="C7" s="9">
        <v>116.0</v>
      </c>
      <c r="D7" s="9">
        <v>106.0</v>
      </c>
      <c r="E7" s="9">
        <v>115.0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2.0" customHeight="1">
      <c r="A8" s="10"/>
      <c r="B8" s="7" t="s">
        <v>9</v>
      </c>
      <c r="C8" s="9">
        <v>110.0</v>
      </c>
      <c r="D8" s="9">
        <v>95.0</v>
      </c>
      <c r="E8" s="9">
        <v>112.0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2</v>
      </c>
      <c r="B10" s="2" t="s">
        <v>10</v>
      </c>
      <c r="C10" s="2"/>
      <c r="D10" s="2" t="s">
        <v>7</v>
      </c>
      <c r="E10" s="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4</v>
      </c>
      <c r="B11" s="2">
        <v>20.0</v>
      </c>
      <c r="C11" s="2"/>
      <c r="D11" s="2" t="s">
        <v>12</v>
      </c>
      <c r="E11" s="2">
        <v>25.0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13</v>
      </c>
      <c r="B12" s="2">
        <v>25.0</v>
      </c>
      <c r="C12" s="2"/>
      <c r="D12" s="2" t="s">
        <v>14</v>
      </c>
      <c r="E12" s="2">
        <v>50.0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15</v>
      </c>
      <c r="B13" s="2">
        <v>15.0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 t="s">
        <v>16</v>
      </c>
      <c r="D15" s="2" t="s">
        <v>17</v>
      </c>
      <c r="E15" s="2" t="s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19</v>
      </c>
      <c r="B16" s="11">
        <f>SUM(D16:D18)</f>
        <v>30</v>
      </c>
      <c r="C16" s="2" t="s">
        <v>20</v>
      </c>
      <c r="D16" s="12">
        <v>10.0</v>
      </c>
      <c r="E16" s="11">
        <f>D16*C7</f>
        <v>1160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21</v>
      </c>
      <c r="B17" s="11">
        <f>SUM(D19:D21)</f>
        <v>60</v>
      </c>
      <c r="C17" s="2" t="s">
        <v>22</v>
      </c>
      <c r="D17" s="12">
        <v>10.0</v>
      </c>
      <c r="E17" s="11">
        <f>D17*D7</f>
        <v>1060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11"/>
      <c r="C18" s="2" t="s">
        <v>23</v>
      </c>
      <c r="D18" s="12">
        <v>10.0</v>
      </c>
      <c r="E18" s="11">
        <f>D18*E7</f>
        <v>1150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24</v>
      </c>
      <c r="B19" s="11">
        <f t="shared" ref="B19:B21" si="1">D16+D19</f>
        <v>30</v>
      </c>
      <c r="C19" s="2" t="s">
        <v>25</v>
      </c>
      <c r="D19" s="12">
        <v>20.0</v>
      </c>
      <c r="E19" s="11">
        <f>D19*C8</f>
        <v>2200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26</v>
      </c>
      <c r="B20" s="11">
        <f t="shared" si="1"/>
        <v>30</v>
      </c>
      <c r="C20" s="2" t="s">
        <v>27</v>
      </c>
      <c r="D20" s="12">
        <v>20.0</v>
      </c>
      <c r="E20" s="11">
        <f>D20*D8</f>
        <v>1900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28</v>
      </c>
      <c r="B21" s="11">
        <f t="shared" si="1"/>
        <v>30</v>
      </c>
      <c r="C21" s="2" t="s">
        <v>29</v>
      </c>
      <c r="D21" s="12">
        <v>20.0</v>
      </c>
      <c r="E21" s="11">
        <f>D21*E8</f>
        <v>2240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D22" s="13" t="s">
        <v>30</v>
      </c>
      <c r="E22" s="14">
        <f>SUM(E16:E21)</f>
        <v>9710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1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15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5:B5"/>
    <mergeCell ref="C5:E5"/>
    <mergeCell ref="A7:A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2020-03-20T13:01:58Z</dcterms:created>
  <dc:creator>admin</dc:creator>
</cp:coreProperties>
</file>